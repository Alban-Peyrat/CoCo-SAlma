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domdocfilesrv\folders$\apeyrat001\Documents\_CoCo-SAlma\"/>
    </mc:Choice>
  </mc:AlternateContent>
  <bookViews>
    <workbookView xWindow="0" yWindow="0" windowWidth="28800" windowHeight="12435"/>
  </bookViews>
  <sheets>
    <sheet name="Introduction" sheetId="1" r:id="rId1"/>
    <sheet name="Données" sheetId="2" r:id="rId2"/>
    <sheet name="Résultats" sheetId="3" r:id="rId3"/>
  </sheets>
  <functionGroups builtInGroupCount="18"/>
  <definedNames>
    <definedName name="RCR_Nom_Bib">OFFSET(Introduction!$S$2,,,COUNTA(Introduction!$S$2:$S$300),2)</definedName>
  </definedNames>
  <calcPr calcId="152511"/>
</workbook>
</file>

<file path=xl/calcChain.xml><?xml version="1.0" encoding="utf-8"?>
<calcChain xmlns="http://schemas.openxmlformats.org/spreadsheetml/2006/main">
  <c r="L2" i="2" l="1"/>
  <c r="B2" i="2" l="1"/>
  <c r="J2" i="2" l="1"/>
</calcChain>
</file>

<file path=xl/sharedStrings.xml><?xml version="1.0" encoding="utf-8"?>
<sst xmlns="http://schemas.openxmlformats.org/spreadsheetml/2006/main" count="69" uniqueCount="58">
  <si>
    <t>Sudoc Export</t>
  </si>
  <si>
    <t>Alma PPN</t>
  </si>
  <si>
    <t>Alma Cote</t>
  </si>
  <si>
    <t>RCR bibliothèque</t>
  </si>
  <si>
    <t>Nom bibliothèque Alma</t>
  </si>
  <si>
    <t>Liste PPN originale</t>
  </si>
  <si>
    <t>=SI(ESTNUM(CHERCHE("(PPN)";A2));A2;"(PPN)"&amp;DROITE(A2;9))</t>
  </si>
  <si>
    <t>035 FIELD</t>
  </si>
  <si>
    <t>Formule de "Données" colonne "035 FIELD" :</t>
  </si>
  <si>
    <t xml:space="preserve"> </t>
  </si>
  <si>
    <t>BU SVS - Josy Reiffers</t>
  </si>
  <si>
    <t>Script pour chercher dans le sudoc</t>
  </si>
  <si>
    <t>Sub searchExcelPPNList()</t>
  </si>
  <si>
    <t>'Recherche la liste de PPN contenu dans le presse-papier</t>
  </si>
  <si>
    <t>'Raccourci : texte only</t>
  </si>
  <si>
    <t>'Requis : RIEN</t>
  </si>
  <si>
    <t xml:space="preserve">    Dim query</t>
  </si>
  <si>
    <t xml:space="preserve">    </t>
  </si>
  <si>
    <t>With Application.activeWindow</t>
  </si>
  <si>
    <t xml:space="preserve">    query = "che ppn " &amp; replace(replace(.Clipboard, "(PPN)", ""), Chr(10), " OR ")</t>
  </si>
  <si>
    <t xml:space="preserve">    query = Left(query, Len(query)-4)</t>
  </si>
  <si>
    <t xml:space="preserve">    .Clipboard = query</t>
  </si>
  <si>
    <t xml:space="preserve">    .Command query</t>
  </si>
  <si>
    <t>End With</t>
  </si>
  <si>
    <t>End Sub</t>
  </si>
  <si>
    <t>Liste RCR bibliothèque</t>
  </si>
  <si>
    <t>Liste Nom de Bibliothèque Alma</t>
  </si>
  <si>
    <t>=RECHERCHEV(I2;RCR_Nom_Bib;2;FAUX)</t>
  </si>
  <si>
    <t>=DECALER(Introduction!$S$3;;;NBVAL(Introduction!$S$3:$S$300);1)</t>
  </si>
  <si>
    <t>Formule de la cellule "Nom bibliothèque Alma" :</t>
  </si>
  <si>
    <t>Formule de la validation de données de la cellule "RCR bibliothèque" :</t>
  </si>
  <si>
    <t>=DECALER(Introduction!$S$2;;;NBVAL(Introduction!$S$2:$S$300);2)</t>
  </si>
  <si>
    <t>Formule du nom "RCR_Nom_Bib" dans le getionnaire de noms :</t>
  </si>
  <si>
    <t>Ne pas toucher</t>
  </si>
  <si>
    <t>À modifier</t>
  </si>
  <si>
    <t>À copier-coller</t>
  </si>
  <si>
    <t>Col. "Correspondance" :</t>
  </si>
  <si>
    <t>Problème dans Alma (prioritaire)</t>
  </si>
  <si>
    <t>Problème dans Sudoc</t>
  </si>
  <si>
    <t>Col. "Cotes" (Alma et Sudoc) :</t>
  </si>
  <si>
    <t>Absence de cotes</t>
  </si>
  <si>
    <t>Plusieurs cotes</t>
  </si>
  <si>
    <t>Code couleur (hors feuille "Résultats") :</t>
  </si>
  <si>
    <t>Code couleur feuille "Résultats" :</t>
  </si>
  <si>
    <t>Problème (sans plus de précisions)</t>
  </si>
  <si>
    <t>Nom du fonds</t>
  </si>
  <si>
    <t>CoCo-SAlma2</t>
  </si>
  <si>
    <t>Ex traitement : Médecine Salle Ronde</t>
  </si>
  <si>
    <t>5507 titres exportés depuis Alma</t>
  </si>
  <si>
    <t>22:29 de traitement</t>
  </si>
  <si>
    <t>13:23 pour le rerun</t>
  </si>
  <si>
    <t>/!\ NE PAS TOUCHER ↓ /!\</t>
  </si>
  <si>
    <t>Fonds1</t>
  </si>
  <si>
    <t>18:17 le rerunTest</t>
  </si>
  <si>
    <t>Pour un guide sur l'utilisation de CoCo-SAlam2 :</t>
  </si>
  <si>
    <t>Utiliser_CoCo-SAlma2 (format pptx, pdf (du diaporama), docx (texte, uniquement)</t>
  </si>
  <si>
    <t>Pour des informations sur le fonctionnement :</t>
  </si>
  <si>
    <t>Fctnmt_CoCo-SAlma2 (format docx, pdf)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</si>
</sst>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40"/>
      <color rgb="FF99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gradientFill>
        <stop position="0">
          <color rgb="FFFF0000"/>
        </stop>
        <stop position="1">
          <color theme="0" tint="-0.1490218817712943"/>
        </stop>
      </gradient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33">
    <xf numFmtId="0" fontId="0" fillId="0" borderId="0" xfId="0"/>
    <xf numFmtId="0" fontId="0" fillId="2" borderId="1" xfId="0" applyFill="1" applyBorder="1"/>
    <xf numFmtId="49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/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/>
    <xf numFmtId="49" fontId="0" fillId="0" borderId="0" xfId="0" applyNumberFormat="1"/>
    <xf numFmtId="0" fontId="0" fillId="5" borderId="0" xfId="0" applyFill="1"/>
    <xf numFmtId="0" fontId="1" fillId="4" borderId="0" xfId="0" applyFont="1" applyFill="1"/>
    <xf numFmtId="0" fontId="0" fillId="3" borderId="1" xfId="0" applyFill="1" applyBorder="1" applyAlignment="1">
      <alignment horizontal="center" vertical="center"/>
    </xf>
    <xf numFmtId="0" fontId="0" fillId="0" borderId="0" xfId="0" applyAlignment="1"/>
    <xf numFmtId="0" fontId="0" fillId="3" borderId="2" xfId="0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NumberFormat="1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0" fillId="3" borderId="0" xfId="0" quotePrefix="1" applyFill="1"/>
    <xf numFmtId="0" fontId="0" fillId="3" borderId="0" xfId="0" applyFill="1"/>
    <xf numFmtId="0" fontId="0" fillId="2" borderId="0" xfId="0" applyFill="1"/>
    <xf numFmtId="0" fontId="0" fillId="6" borderId="2" xfId="0" applyNumberFormat="1" applyFill="1" applyBorder="1" applyAlignment="1">
      <alignment horizontal="center" vertical="center"/>
    </xf>
    <xf numFmtId="0" fontId="0" fillId="6" borderId="1" xfId="0" applyFill="1" applyBorder="1"/>
    <xf numFmtId="0" fontId="0" fillId="7" borderId="0" xfId="0" applyFill="1"/>
    <xf numFmtId="0" fontId="1" fillId="4" borderId="0" xfId="0" applyFont="1" applyFill="1" applyAlignment="1">
      <alignment horizontal="right"/>
    </xf>
    <xf numFmtId="0" fontId="0" fillId="2" borderId="2" xfId="0" applyFill="1" applyBorder="1" applyAlignment="1"/>
    <xf numFmtId="0" fontId="0" fillId="8" borderId="0" xfId="0" applyFill="1"/>
    <xf numFmtId="0" fontId="2" fillId="4" borderId="0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0" borderId="0" xfId="0" applyFont="1" applyFill="1"/>
    <xf numFmtId="49" fontId="5" fillId="0" borderId="0" xfId="0" applyNumberFormat="1" applyFont="1"/>
    <xf numFmtId="49" fontId="6" fillId="0" borderId="0" xfId="0" applyNumberFormat="1" applyFont="1"/>
    <xf numFmtId="49" fontId="0" fillId="0" borderId="0" xfId="0" applyNumberFormat="1" applyAlignment="1"/>
    <xf numFmtId="49" fontId="6" fillId="0" borderId="0" xfId="0" applyNumberFormat="1" applyFont="1" applyAlignment="1"/>
    <xf numFmtId="49" fontId="7" fillId="0" borderId="0" xfId="0" applyNumberFormat="1" applyFont="1" applyAlignment="1">
      <alignment horizontal="center"/>
    </xf>
  </cellXfs>
  <cellStyles count="2">
    <cellStyle name="Normal" xfId="0" builtinId="0"/>
    <cellStyle name="Normal 2" xfId="1"/>
  </cellStyles>
  <dxfs count="20"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Medium9"/>
  <colors>
    <mruColors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14</xdr:row>
          <xdr:rowOff>57150</xdr:rowOff>
        </xdr:from>
        <xdr:to>
          <xdr:col>5</xdr:col>
          <xdr:colOff>2352675</xdr:colOff>
          <xdr:row>18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Remettre à zéro les données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(Ctrl + Shift + 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18</xdr:row>
          <xdr:rowOff>114300</xdr:rowOff>
        </xdr:from>
        <xdr:to>
          <xdr:col>5</xdr:col>
          <xdr:colOff>2352675</xdr:colOff>
          <xdr:row>22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la liste des PPN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pour l'export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(Ctrl + Shift + 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180975</xdr:rowOff>
        </xdr:from>
        <xdr:to>
          <xdr:col>5</xdr:col>
          <xdr:colOff>2343150</xdr:colOff>
          <xdr:row>26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 l'analyse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(Ctrl + Shift + 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27</xdr:row>
          <xdr:rowOff>114300</xdr:rowOff>
        </xdr:from>
        <xdr:to>
          <xdr:col>5</xdr:col>
          <xdr:colOff>2371725</xdr:colOff>
          <xdr:row>31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[Facultatif] Purifier la liste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 PPN basée sur Alma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(Ctrl + Shift + I)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T46"/>
  <sheetViews>
    <sheetView tabSelected="1" workbookViewId="0">
      <selection sqref="A1:A3"/>
    </sheetView>
  </sheetViews>
  <sheetFormatPr baseColWidth="10" defaultColWidth="9.140625" defaultRowHeight="15" x14ac:dyDescent="0.25"/>
  <cols>
    <col min="1" max="1" width="48.42578125" style="7" customWidth="1"/>
    <col min="2" max="5" width="9.140625" style="7"/>
    <col min="6" max="6" width="35.7109375" customWidth="1"/>
    <col min="7" max="9" width="4.42578125" customWidth="1"/>
    <col min="11" max="11" width="69.85546875" customWidth="1"/>
    <col min="12" max="12" width="0" hidden="1" customWidth="1"/>
    <col min="13" max="18" width="6.85546875" hidden="1" customWidth="1"/>
    <col min="19" max="19" width="21" style="4" customWidth="1"/>
    <col min="20" max="20" width="29.42578125" style="4" customWidth="1"/>
  </cols>
  <sheetData>
    <row r="1" spans="1:20" x14ac:dyDescent="0.25">
      <c r="A1" s="32" t="s">
        <v>46</v>
      </c>
      <c r="S1"/>
      <c r="T1"/>
    </row>
    <row r="2" spans="1:20" x14ac:dyDescent="0.25">
      <c r="A2" s="32"/>
      <c r="F2" s="9" t="s">
        <v>42</v>
      </c>
      <c r="K2" s="27" t="s">
        <v>11</v>
      </c>
      <c r="S2" s="9" t="s">
        <v>25</v>
      </c>
      <c r="T2" s="9" t="s">
        <v>26</v>
      </c>
    </row>
    <row r="3" spans="1:20" x14ac:dyDescent="0.25">
      <c r="A3" s="32"/>
      <c r="F3" s="17" t="s">
        <v>33</v>
      </c>
      <c r="K3" s="27" t="s">
        <v>12</v>
      </c>
      <c r="S3" s="10">
        <v>330632101</v>
      </c>
      <c r="T3" s="10" t="s">
        <v>10</v>
      </c>
    </row>
    <row r="4" spans="1:20" x14ac:dyDescent="0.25">
      <c r="F4" s="18" t="s">
        <v>34</v>
      </c>
      <c r="K4" s="27" t="s">
        <v>13</v>
      </c>
    </row>
    <row r="5" spans="1:20" x14ac:dyDescent="0.25">
      <c r="F5" s="8" t="s">
        <v>35</v>
      </c>
      <c r="K5" s="27" t="s">
        <v>14</v>
      </c>
    </row>
    <row r="6" spans="1:20" x14ac:dyDescent="0.25">
      <c r="A6" s="7" t="s">
        <v>54</v>
      </c>
      <c r="K6" s="27" t="s">
        <v>15</v>
      </c>
    </row>
    <row r="7" spans="1:20" x14ac:dyDescent="0.25">
      <c r="A7" s="7" t="s">
        <v>55</v>
      </c>
      <c r="F7" s="9" t="s">
        <v>43</v>
      </c>
      <c r="K7" s="27"/>
    </row>
    <row r="8" spans="1:20" x14ac:dyDescent="0.25">
      <c r="F8" s="22" t="s">
        <v>36</v>
      </c>
      <c r="K8" s="27" t="s">
        <v>16</v>
      </c>
    </row>
    <row r="9" spans="1:20" x14ac:dyDescent="0.25">
      <c r="A9" s="7" t="s">
        <v>56</v>
      </c>
      <c r="F9" s="21" t="s">
        <v>37</v>
      </c>
      <c r="K9" s="27" t="s">
        <v>17</v>
      </c>
    </row>
    <row r="10" spans="1:20" x14ac:dyDescent="0.25">
      <c r="A10" s="7" t="s">
        <v>57</v>
      </c>
      <c r="F10" s="17" t="s">
        <v>38</v>
      </c>
      <c r="K10" s="27" t="s">
        <v>18</v>
      </c>
    </row>
    <row r="11" spans="1:20" x14ac:dyDescent="0.25">
      <c r="F11" s="24" t="s">
        <v>44</v>
      </c>
      <c r="K11" s="27" t="s">
        <v>17</v>
      </c>
    </row>
    <row r="12" spans="1:20" x14ac:dyDescent="0.25">
      <c r="F12" s="22" t="s">
        <v>39</v>
      </c>
      <c r="K12" s="27" t="s">
        <v>19</v>
      </c>
    </row>
    <row r="13" spans="1:20" x14ac:dyDescent="0.25">
      <c r="F13" s="17" t="s">
        <v>40</v>
      </c>
      <c r="K13" s="27" t="s">
        <v>20</v>
      </c>
    </row>
    <row r="14" spans="1:20" x14ac:dyDescent="0.25">
      <c r="F14" s="18" t="s">
        <v>41</v>
      </c>
      <c r="K14" s="27" t="s">
        <v>21</v>
      </c>
    </row>
    <row r="15" spans="1:20" x14ac:dyDescent="0.25">
      <c r="K15" s="27" t="s">
        <v>22</v>
      </c>
    </row>
    <row r="16" spans="1:20" x14ac:dyDescent="0.25">
      <c r="K16" s="27" t="s">
        <v>17</v>
      </c>
    </row>
    <row r="17" spans="1:11" x14ac:dyDescent="0.25">
      <c r="A17" s="30"/>
      <c r="K17" s="27" t="s">
        <v>23</v>
      </c>
    </row>
    <row r="18" spans="1:11" x14ac:dyDescent="0.25">
      <c r="K18" s="27"/>
    </row>
    <row r="19" spans="1:11" x14ac:dyDescent="0.25">
      <c r="K19" s="27" t="s">
        <v>24</v>
      </c>
    </row>
    <row r="21" spans="1:11" x14ac:dyDescent="0.25">
      <c r="K21" s="9" t="s">
        <v>8</v>
      </c>
    </row>
    <row r="22" spans="1:11" x14ac:dyDescent="0.25">
      <c r="K22" s="16" t="s">
        <v>6</v>
      </c>
    </row>
    <row r="23" spans="1:11" x14ac:dyDescent="0.25">
      <c r="K23" s="17"/>
    </row>
    <row r="24" spans="1:11" x14ac:dyDescent="0.25">
      <c r="A24" s="29"/>
      <c r="K24" s="9" t="s">
        <v>29</v>
      </c>
    </row>
    <row r="25" spans="1:11" x14ac:dyDescent="0.25">
      <c r="A25" s="29"/>
      <c r="K25" s="16" t="s">
        <v>27</v>
      </c>
    </row>
    <row r="27" spans="1:11" x14ac:dyDescent="0.25">
      <c r="K27" s="9" t="s">
        <v>30</v>
      </c>
    </row>
    <row r="28" spans="1:11" x14ac:dyDescent="0.25">
      <c r="K28" s="16" t="s">
        <v>28</v>
      </c>
    </row>
    <row r="29" spans="1:11" x14ac:dyDescent="0.25">
      <c r="A29" s="28"/>
    </row>
    <row r="30" spans="1:11" x14ac:dyDescent="0.25">
      <c r="A30" s="28"/>
      <c r="K30" s="9" t="s">
        <v>32</v>
      </c>
    </row>
    <row r="31" spans="1:11" x14ac:dyDescent="0.25">
      <c r="K31" s="16" t="s">
        <v>31</v>
      </c>
    </row>
    <row r="36" spans="1:6" x14ac:dyDescent="0.25">
      <c r="A36" s="29"/>
      <c r="F36" t="s">
        <v>47</v>
      </c>
    </row>
    <row r="37" spans="1:6" x14ac:dyDescent="0.25">
      <c r="A37" s="31"/>
      <c r="F37" t="s">
        <v>48</v>
      </c>
    </row>
    <row r="38" spans="1:6" x14ac:dyDescent="0.25">
      <c r="F38" t="s">
        <v>49</v>
      </c>
    </row>
    <row r="39" spans="1:6" x14ac:dyDescent="0.25">
      <c r="F39" t="s">
        <v>50</v>
      </c>
    </row>
    <row r="40" spans="1:6" x14ac:dyDescent="0.25">
      <c r="F40" t="s">
        <v>53</v>
      </c>
    </row>
    <row r="45" spans="1:6" x14ac:dyDescent="0.25">
      <c r="A45" s="30"/>
    </row>
    <row r="46" spans="1:6" x14ac:dyDescent="0.25">
      <c r="A46" s="30"/>
    </row>
  </sheetData>
  <sortState ref="C2:D68">
    <sortCondition ref="C2"/>
  </sortState>
  <mergeCells count="1">
    <mergeCell ref="A1:A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Donnees">
                <anchor moveWithCells="1" sizeWithCells="1">
                  <from>
                    <xdr:col>5</xdr:col>
                    <xdr:colOff>9525</xdr:colOff>
                    <xdr:row>14</xdr:row>
                    <xdr:rowOff>57150</xdr:rowOff>
                  </from>
                  <to>
                    <xdr:col>5</xdr:col>
                    <xdr:colOff>2352675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tend_035field">
                <anchor moveWithCells="1" sizeWithCells="1">
                  <from>
                    <xdr:col>5</xdr:col>
                    <xdr:colOff>9525</xdr:colOff>
                    <xdr:row>18</xdr:row>
                    <xdr:rowOff>114300</xdr:rowOff>
                  </from>
                  <to>
                    <xdr:col>5</xdr:col>
                    <xdr:colOff>2352675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">
                <anchor moveWithCells="1" sizeWithCells="1">
                  <from>
                    <xdr:col>5</xdr:col>
                    <xdr:colOff>0</xdr:colOff>
                    <xdr:row>22</xdr:row>
                    <xdr:rowOff>180975</xdr:rowOff>
                  </from>
                  <to>
                    <xdr:col>5</xdr:col>
                    <xdr:colOff>2343150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urifier_PPN_List_From_Alma">
                <anchor moveWithCells="1" sizeWithCells="1">
                  <from>
                    <xdr:col>5</xdr:col>
                    <xdr:colOff>28575</xdr:colOff>
                    <xdr:row>27</xdr:row>
                    <xdr:rowOff>114300</xdr:rowOff>
                  </from>
                  <to>
                    <xdr:col>5</xdr:col>
                    <xdr:colOff>2371725</xdr:colOff>
                    <xdr:row>31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L12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7.7109375" style="1" customWidth="1"/>
    <col min="2" max="2" width="6.140625" style="20" hidden="1" customWidth="1"/>
    <col min="3" max="3" width="3.85546875" style="1" hidden="1" customWidth="1"/>
    <col min="4" max="4" width="2.28515625" style="1" hidden="1" customWidth="1"/>
    <col min="5" max="5" width="2.5703125" style="1" hidden="1" customWidth="1"/>
    <col min="6" max="6" width="1.42578125" bestFit="1" customWidth="1"/>
    <col min="7" max="7" width="13.28515625" customWidth="1"/>
    <col min="9" max="9" width="16" customWidth="1"/>
    <col min="10" max="10" width="48.5703125" customWidth="1"/>
    <col min="12" max="12" width="24.42578125" bestFit="1" customWidth="1"/>
  </cols>
  <sheetData>
    <row r="1" spans="1:12" ht="15.75" thickBot="1" x14ac:dyDescent="0.3">
      <c r="A1" s="13" t="s">
        <v>5</v>
      </c>
      <c r="B1" s="14" t="s">
        <v>7</v>
      </c>
      <c r="C1" s="26" t="s">
        <v>0</v>
      </c>
      <c r="D1" s="26" t="s">
        <v>1</v>
      </c>
      <c r="E1" s="15" t="s">
        <v>2</v>
      </c>
      <c r="F1" s="11" t="s">
        <v>9</v>
      </c>
      <c r="G1" s="25" t="s">
        <v>45</v>
      </c>
      <c r="I1" s="13" t="s">
        <v>3</v>
      </c>
      <c r="J1" s="15" t="s">
        <v>4</v>
      </c>
      <c r="L1" s="25" t="s">
        <v>51</v>
      </c>
    </row>
    <row r="2" spans="1:12" x14ac:dyDescent="0.25">
      <c r="A2" s="5"/>
      <c r="B2" s="19" t="str">
        <f t="shared" ref="B2:B47" si="0">IF(ISNUMBER(SEARCH("(PPN)",A2)),A2,"(PPN)"&amp;RIGHT(A2,9))</f>
        <v>(PPN)</v>
      </c>
      <c r="E2" s="23"/>
      <c r="F2" s="11" t="s">
        <v>9</v>
      </c>
      <c r="G2" s="1" t="s">
        <v>52</v>
      </c>
      <c r="I2" s="5">
        <v>330632101</v>
      </c>
      <c r="J2" s="12" t="str">
        <f ca="1">VLOOKUP(I2,RCR_Nom_Bib,2,FALSE)</f>
        <v>BU SVS - Josy Reiffers</v>
      </c>
      <c r="L2" s="19" t="str">
        <f>IF(ISNUMBER(SEARCH("(PPN)",$A2)),$A2,"(PPN)"&amp;RIGHT($A2,9))</f>
        <v>(PPN)</v>
      </c>
    </row>
    <row r="3" spans="1:12" x14ac:dyDescent="0.25">
      <c r="A3" s="3"/>
      <c r="B3" s="19"/>
      <c r="E3" s="6"/>
      <c r="F3" s="11" t="s">
        <v>9</v>
      </c>
    </row>
    <row r="4" spans="1:12" x14ac:dyDescent="0.25">
      <c r="A4" s="3"/>
      <c r="B4" s="19"/>
      <c r="E4" s="6"/>
      <c r="F4" s="11" t="s">
        <v>9</v>
      </c>
    </row>
    <row r="5" spans="1:12" x14ac:dyDescent="0.25">
      <c r="A5" s="3"/>
      <c r="B5" s="19"/>
      <c r="E5" s="6"/>
      <c r="F5" s="11" t="s">
        <v>9</v>
      </c>
    </row>
    <row r="6" spans="1:12" x14ac:dyDescent="0.25">
      <c r="A6" s="3"/>
      <c r="B6" s="19"/>
      <c r="E6" s="6"/>
      <c r="F6" s="11" t="s">
        <v>9</v>
      </c>
    </row>
    <row r="7" spans="1:12" x14ac:dyDescent="0.25">
      <c r="A7" s="3"/>
      <c r="B7" s="19"/>
      <c r="E7" s="6"/>
      <c r="F7" s="11" t="s">
        <v>9</v>
      </c>
    </row>
    <row r="8" spans="1:12" x14ac:dyDescent="0.25">
      <c r="A8" s="3"/>
      <c r="B8" s="19"/>
      <c r="E8" s="6"/>
      <c r="F8" s="11" t="s">
        <v>9</v>
      </c>
    </row>
    <row r="9" spans="1:12" x14ac:dyDescent="0.25">
      <c r="A9" s="3"/>
      <c r="B9" s="19"/>
      <c r="E9" s="6"/>
      <c r="F9" s="11" t="s">
        <v>9</v>
      </c>
    </row>
    <row r="10" spans="1:12" x14ac:dyDescent="0.25">
      <c r="A10" s="3"/>
      <c r="B10" s="19"/>
      <c r="E10" s="6"/>
      <c r="F10" s="11" t="s">
        <v>9</v>
      </c>
    </row>
    <row r="11" spans="1:12" x14ac:dyDescent="0.25">
      <c r="A11" s="3"/>
      <c r="B11" s="19"/>
      <c r="E11" s="6"/>
      <c r="F11" s="11"/>
    </row>
    <row r="12" spans="1:12" x14ac:dyDescent="0.25">
      <c r="A12" s="3"/>
      <c r="B12" s="19"/>
      <c r="E12" s="6"/>
      <c r="F12" s="11"/>
    </row>
    <row r="13" spans="1:12" x14ac:dyDescent="0.25">
      <c r="A13" s="3"/>
      <c r="B13" s="19"/>
      <c r="E13" s="6"/>
      <c r="F13" s="11"/>
    </row>
    <row r="14" spans="1:12" x14ac:dyDescent="0.25">
      <c r="A14" s="3"/>
      <c r="B14" s="19"/>
      <c r="E14" s="6"/>
      <c r="F14" s="11"/>
    </row>
    <row r="15" spans="1:12" x14ac:dyDescent="0.25">
      <c r="A15" s="3"/>
      <c r="B15" s="19"/>
      <c r="E15" s="6"/>
      <c r="F15" s="11"/>
    </row>
    <row r="16" spans="1:12" x14ac:dyDescent="0.25">
      <c r="A16" s="3"/>
      <c r="B16" s="19"/>
      <c r="E16" s="6"/>
      <c r="F16" s="11"/>
    </row>
    <row r="17" spans="1:6" x14ac:dyDescent="0.25">
      <c r="A17" s="3"/>
      <c r="B17" s="19"/>
      <c r="E17" s="6"/>
      <c r="F17" s="11"/>
    </row>
    <row r="18" spans="1:6" x14ac:dyDescent="0.25">
      <c r="A18" s="3"/>
      <c r="B18" s="19"/>
      <c r="E18" s="6"/>
      <c r="F18" s="11"/>
    </row>
    <row r="19" spans="1:6" x14ac:dyDescent="0.25">
      <c r="A19" s="3"/>
      <c r="B19" s="19"/>
      <c r="E19" s="6"/>
      <c r="F19" s="11"/>
    </row>
    <row r="20" spans="1:6" x14ac:dyDescent="0.25">
      <c r="A20" s="3"/>
      <c r="B20" s="19"/>
      <c r="E20" s="6"/>
      <c r="F20" s="11"/>
    </row>
    <row r="21" spans="1:6" x14ac:dyDescent="0.25">
      <c r="A21" s="3"/>
      <c r="B21" s="19"/>
      <c r="E21" s="6"/>
      <c r="F21" s="11"/>
    </row>
    <row r="22" spans="1:6" x14ac:dyDescent="0.25">
      <c r="A22" s="3"/>
      <c r="B22" s="19"/>
      <c r="E22" s="6"/>
      <c r="F22" s="11"/>
    </row>
    <row r="23" spans="1:6" x14ac:dyDescent="0.25">
      <c r="A23" s="3"/>
      <c r="B23" s="19"/>
      <c r="E23" s="6"/>
      <c r="F23" s="11"/>
    </row>
    <row r="24" spans="1:6" x14ac:dyDescent="0.25">
      <c r="A24" s="3"/>
      <c r="B24" s="19"/>
      <c r="E24" s="6"/>
      <c r="F24" s="11"/>
    </row>
    <row r="25" spans="1:6" x14ac:dyDescent="0.25">
      <c r="A25" s="3"/>
      <c r="B25" s="19"/>
      <c r="E25" s="6"/>
      <c r="F25" s="11"/>
    </row>
    <row r="26" spans="1:6" x14ac:dyDescent="0.25">
      <c r="A26" s="3"/>
      <c r="B26" s="19"/>
      <c r="E26" s="6"/>
      <c r="F26" s="11"/>
    </row>
    <row r="27" spans="1:6" x14ac:dyDescent="0.25">
      <c r="A27" s="3"/>
      <c r="B27" s="19"/>
      <c r="E27" s="6"/>
      <c r="F27" s="11"/>
    </row>
    <row r="28" spans="1:6" x14ac:dyDescent="0.25">
      <c r="A28" s="3"/>
      <c r="B28" s="19"/>
      <c r="E28" s="6"/>
      <c r="F28" s="11"/>
    </row>
    <row r="29" spans="1:6" x14ac:dyDescent="0.25">
      <c r="A29" s="3"/>
      <c r="B29" s="19"/>
      <c r="E29" s="6"/>
      <c r="F29" s="11"/>
    </row>
    <row r="30" spans="1:6" x14ac:dyDescent="0.25">
      <c r="A30" s="3"/>
      <c r="B30" s="19"/>
      <c r="E30" s="6"/>
      <c r="F30" s="11"/>
    </row>
    <row r="31" spans="1:6" x14ac:dyDescent="0.25">
      <c r="A31" s="3"/>
      <c r="B31" s="19"/>
      <c r="E31" s="6"/>
      <c r="F31" s="11"/>
    </row>
    <row r="32" spans="1:6" x14ac:dyDescent="0.25">
      <c r="A32" s="3"/>
      <c r="B32" s="19"/>
      <c r="E32" s="6"/>
      <c r="F32" s="11"/>
    </row>
    <row r="33" spans="1:6" x14ac:dyDescent="0.25">
      <c r="A33" s="3"/>
      <c r="B33" s="19"/>
      <c r="E33" s="6"/>
      <c r="F33" s="11"/>
    </row>
    <row r="34" spans="1:6" x14ac:dyDescent="0.25">
      <c r="A34" s="3"/>
      <c r="B34" s="19"/>
      <c r="E34" s="6"/>
      <c r="F34" s="11"/>
    </row>
    <row r="35" spans="1:6" x14ac:dyDescent="0.25">
      <c r="A35" s="3"/>
      <c r="B35" s="19"/>
      <c r="E35" s="6"/>
      <c r="F35" s="11"/>
    </row>
    <row r="36" spans="1:6" x14ac:dyDescent="0.25">
      <c r="A36" s="3"/>
      <c r="B36" s="19"/>
      <c r="E36" s="6"/>
      <c r="F36" s="11"/>
    </row>
    <row r="37" spans="1:6" x14ac:dyDescent="0.25">
      <c r="A37" s="3"/>
      <c r="B37" s="19"/>
      <c r="E37" s="6"/>
      <c r="F37" s="11"/>
    </row>
    <row r="38" spans="1:6" x14ac:dyDescent="0.25">
      <c r="A38" s="3"/>
      <c r="B38" s="19"/>
      <c r="E38" s="6"/>
      <c r="F38" s="11"/>
    </row>
    <row r="39" spans="1:6" x14ac:dyDescent="0.25">
      <c r="A39" s="3"/>
      <c r="B39" s="19"/>
      <c r="E39" s="6"/>
      <c r="F39" s="11"/>
    </row>
    <row r="40" spans="1:6" x14ac:dyDescent="0.25">
      <c r="A40" s="3"/>
      <c r="B40" s="19"/>
      <c r="E40" s="6"/>
      <c r="F40" s="11"/>
    </row>
    <row r="41" spans="1:6" x14ac:dyDescent="0.25">
      <c r="A41" s="3"/>
      <c r="B41" s="19"/>
      <c r="E41" s="6"/>
      <c r="F41" s="11"/>
    </row>
    <row r="42" spans="1:6" x14ac:dyDescent="0.25">
      <c r="A42" s="3"/>
      <c r="B42" s="19"/>
      <c r="E42" s="6"/>
      <c r="F42" s="11"/>
    </row>
    <row r="43" spans="1:6" x14ac:dyDescent="0.25">
      <c r="A43" s="3"/>
      <c r="B43" s="19"/>
      <c r="E43" s="6"/>
      <c r="F43" s="11"/>
    </row>
    <row r="44" spans="1:6" x14ac:dyDescent="0.25">
      <c r="A44" s="3"/>
      <c r="B44" s="19"/>
      <c r="E44" s="6"/>
      <c r="F44" s="11"/>
    </row>
    <row r="45" spans="1:6" x14ac:dyDescent="0.25">
      <c r="A45" s="3"/>
      <c r="B45" s="19"/>
      <c r="E45" s="6"/>
      <c r="F45" s="11"/>
    </row>
    <row r="46" spans="1:6" x14ac:dyDescent="0.25">
      <c r="A46" s="3"/>
      <c r="B46" s="19"/>
      <c r="E46" s="6"/>
      <c r="F46" s="11"/>
    </row>
    <row r="47" spans="1:6" x14ac:dyDescent="0.25">
      <c r="A47" s="3"/>
      <c r="B47" s="19"/>
      <c r="E47" s="6"/>
      <c r="F47" s="11"/>
    </row>
    <row r="48" spans="1:6" x14ac:dyDescent="0.25">
      <c r="A48" s="3"/>
      <c r="B48" s="19"/>
      <c r="E48" s="6"/>
      <c r="F48" s="11"/>
    </row>
    <row r="49" spans="1:6" x14ac:dyDescent="0.25">
      <c r="A49" s="3"/>
      <c r="B49" s="19"/>
      <c r="E49" s="6"/>
      <c r="F49" s="11"/>
    </row>
    <row r="50" spans="1:6" x14ac:dyDescent="0.25">
      <c r="A50" s="3"/>
      <c r="B50" s="19"/>
      <c r="E50" s="6"/>
      <c r="F50" s="11"/>
    </row>
    <row r="51" spans="1:6" x14ac:dyDescent="0.25">
      <c r="A51" s="3"/>
      <c r="B51" s="19"/>
      <c r="E51" s="6"/>
      <c r="F51" s="11"/>
    </row>
    <row r="52" spans="1:6" x14ac:dyDescent="0.25">
      <c r="A52" s="3"/>
      <c r="B52" s="19"/>
      <c r="E52" s="6"/>
      <c r="F52" s="11"/>
    </row>
    <row r="53" spans="1:6" x14ac:dyDescent="0.25">
      <c r="A53" s="3"/>
      <c r="B53" s="19"/>
      <c r="E53" s="6"/>
      <c r="F53" s="11"/>
    </row>
    <row r="54" spans="1:6" x14ac:dyDescent="0.25">
      <c r="A54" s="3"/>
      <c r="B54" s="19"/>
      <c r="E54" s="6"/>
      <c r="F54" s="11"/>
    </row>
    <row r="55" spans="1:6" x14ac:dyDescent="0.25">
      <c r="A55" s="3"/>
      <c r="B55" s="19"/>
      <c r="E55" s="6"/>
      <c r="F55" s="11"/>
    </row>
    <row r="56" spans="1:6" x14ac:dyDescent="0.25">
      <c r="A56" s="3"/>
      <c r="B56" s="19"/>
      <c r="E56" s="6"/>
      <c r="F56" s="11"/>
    </row>
    <row r="57" spans="1:6" x14ac:dyDescent="0.25">
      <c r="A57" s="3"/>
      <c r="B57" s="19"/>
      <c r="E57" s="6"/>
      <c r="F57" s="11"/>
    </row>
    <row r="58" spans="1:6" x14ac:dyDescent="0.25">
      <c r="A58" s="3"/>
      <c r="B58" s="19"/>
      <c r="E58" s="6"/>
      <c r="F58" s="11"/>
    </row>
    <row r="59" spans="1:6" x14ac:dyDescent="0.25">
      <c r="A59" s="3"/>
      <c r="B59" s="19"/>
      <c r="E59" s="6"/>
      <c r="F59" s="11"/>
    </row>
    <row r="60" spans="1:6" x14ac:dyDescent="0.25">
      <c r="A60" s="3"/>
      <c r="B60" s="19"/>
      <c r="E60" s="6"/>
      <c r="F60" s="11"/>
    </row>
    <row r="61" spans="1:6" x14ac:dyDescent="0.25">
      <c r="A61" s="3"/>
      <c r="B61" s="19"/>
      <c r="E61" s="6"/>
      <c r="F61" s="11"/>
    </row>
    <row r="62" spans="1:6" x14ac:dyDescent="0.25">
      <c r="A62" s="3"/>
      <c r="B62" s="19"/>
      <c r="E62" s="6"/>
      <c r="F62" s="11"/>
    </row>
    <row r="63" spans="1:6" x14ac:dyDescent="0.25">
      <c r="A63" s="3"/>
      <c r="B63" s="19"/>
      <c r="E63" s="6"/>
      <c r="F63" s="11"/>
    </row>
    <row r="64" spans="1:6" x14ac:dyDescent="0.25">
      <c r="A64" s="3"/>
      <c r="B64" s="19"/>
      <c r="E64" s="6"/>
      <c r="F64" s="11"/>
    </row>
    <row r="65" spans="1:6" x14ac:dyDescent="0.25">
      <c r="A65" s="3"/>
      <c r="B65" s="19"/>
      <c r="E65" s="6"/>
      <c r="F65" s="11"/>
    </row>
    <row r="66" spans="1:6" x14ac:dyDescent="0.25">
      <c r="A66" s="3"/>
      <c r="B66" s="19"/>
      <c r="E66" s="6"/>
      <c r="F66" s="11"/>
    </row>
    <row r="67" spans="1:6" x14ac:dyDescent="0.25">
      <c r="A67" s="3"/>
      <c r="B67" s="19"/>
      <c r="E67" s="6"/>
      <c r="F67" s="11"/>
    </row>
    <row r="68" spans="1:6" x14ac:dyDescent="0.25">
      <c r="A68" s="3"/>
      <c r="B68" s="19"/>
      <c r="E68" s="6"/>
      <c r="F68" s="11"/>
    </row>
    <row r="69" spans="1:6" x14ac:dyDescent="0.25">
      <c r="A69" s="3"/>
      <c r="B69" s="19"/>
      <c r="E69" s="6"/>
      <c r="F69" s="11"/>
    </row>
    <row r="70" spans="1:6" x14ac:dyDescent="0.25">
      <c r="A70" s="3"/>
      <c r="B70" s="19"/>
      <c r="E70" s="6"/>
      <c r="F70" s="11"/>
    </row>
    <row r="71" spans="1:6" x14ac:dyDescent="0.25">
      <c r="A71" s="3"/>
      <c r="B71" s="19"/>
      <c r="E71" s="6"/>
      <c r="F71" s="11"/>
    </row>
    <row r="72" spans="1:6" x14ac:dyDescent="0.25">
      <c r="A72" s="3"/>
      <c r="B72" s="19"/>
      <c r="E72" s="6"/>
      <c r="F72" s="11"/>
    </row>
    <row r="73" spans="1:6" x14ac:dyDescent="0.25">
      <c r="A73" s="3"/>
      <c r="B73" s="19"/>
      <c r="E73" s="6"/>
      <c r="F73" s="11"/>
    </row>
    <row r="74" spans="1:6" x14ac:dyDescent="0.25">
      <c r="A74" s="3"/>
      <c r="B74" s="19"/>
      <c r="E74" s="6"/>
      <c r="F74" s="11"/>
    </row>
    <row r="75" spans="1:6" x14ac:dyDescent="0.25">
      <c r="A75" s="3"/>
      <c r="B75" s="19"/>
      <c r="E75" s="6"/>
      <c r="F75" s="11"/>
    </row>
    <row r="76" spans="1:6" x14ac:dyDescent="0.25">
      <c r="A76" s="3"/>
      <c r="B76" s="19"/>
      <c r="E76" s="6"/>
      <c r="F76" s="11"/>
    </row>
    <row r="77" spans="1:6" x14ac:dyDescent="0.25">
      <c r="A77" s="3"/>
      <c r="B77" s="19"/>
      <c r="E77" s="6"/>
      <c r="F77" s="11"/>
    </row>
    <row r="78" spans="1:6" x14ac:dyDescent="0.25">
      <c r="A78" s="3"/>
      <c r="B78" s="19"/>
      <c r="E78" s="6"/>
      <c r="F78" s="11"/>
    </row>
    <row r="79" spans="1:6" x14ac:dyDescent="0.25">
      <c r="A79" s="3"/>
      <c r="B79" s="19"/>
      <c r="E79" s="6"/>
      <c r="F79" s="11"/>
    </row>
    <row r="80" spans="1:6" x14ac:dyDescent="0.25">
      <c r="A80" s="3"/>
      <c r="B80" s="19"/>
      <c r="E80" s="6"/>
      <c r="F80" s="11"/>
    </row>
    <row r="81" spans="1:6" x14ac:dyDescent="0.25">
      <c r="A81" s="3"/>
      <c r="B81" s="19"/>
      <c r="E81" s="6"/>
      <c r="F81" s="11"/>
    </row>
    <row r="82" spans="1:6" x14ac:dyDescent="0.25">
      <c r="A82" s="3"/>
      <c r="B82" s="19"/>
      <c r="E82" s="6"/>
      <c r="F82" s="11"/>
    </row>
    <row r="83" spans="1:6" x14ac:dyDescent="0.25">
      <c r="A83" s="3"/>
      <c r="B83" s="19"/>
      <c r="E83" s="6"/>
      <c r="F83" s="11"/>
    </row>
    <row r="84" spans="1:6" x14ac:dyDescent="0.25">
      <c r="A84" s="3"/>
      <c r="B84" s="19"/>
      <c r="E84" s="6"/>
      <c r="F84" s="11"/>
    </row>
    <row r="85" spans="1:6" x14ac:dyDescent="0.25">
      <c r="A85" s="3"/>
      <c r="B85" s="19"/>
      <c r="E85" s="6"/>
      <c r="F85" s="11"/>
    </row>
    <row r="86" spans="1:6" x14ac:dyDescent="0.25">
      <c r="A86" s="3"/>
      <c r="B86" s="19"/>
      <c r="E86" s="6"/>
      <c r="F86" s="11"/>
    </row>
    <row r="87" spans="1:6" x14ac:dyDescent="0.25">
      <c r="A87" s="3"/>
      <c r="B87" s="19"/>
      <c r="E87" s="6"/>
      <c r="F87" s="11"/>
    </row>
    <row r="88" spans="1:6" x14ac:dyDescent="0.25">
      <c r="A88" s="3"/>
      <c r="B88" s="19"/>
      <c r="E88" s="6"/>
      <c r="F88" s="11"/>
    </row>
    <row r="89" spans="1:6" x14ac:dyDescent="0.25">
      <c r="A89" s="3"/>
      <c r="B89" s="19"/>
      <c r="E89" s="6"/>
      <c r="F89" s="11"/>
    </row>
    <row r="90" spans="1:6" x14ac:dyDescent="0.25">
      <c r="A90" s="3"/>
      <c r="B90" s="19"/>
      <c r="E90" s="6"/>
      <c r="F90" s="11"/>
    </row>
    <row r="91" spans="1:6" x14ac:dyDescent="0.25">
      <c r="A91" s="3"/>
      <c r="B91" s="19"/>
      <c r="E91" s="6"/>
      <c r="F91" s="11"/>
    </row>
    <row r="92" spans="1:6" x14ac:dyDescent="0.25">
      <c r="A92" s="3"/>
      <c r="B92" s="19"/>
      <c r="E92" s="6"/>
      <c r="F92" s="11"/>
    </row>
    <row r="93" spans="1:6" x14ac:dyDescent="0.25">
      <c r="A93" s="3"/>
      <c r="B93" s="19"/>
      <c r="E93" s="6"/>
      <c r="F93" s="11"/>
    </row>
    <row r="94" spans="1:6" x14ac:dyDescent="0.25">
      <c r="A94" s="3"/>
      <c r="B94" s="19"/>
      <c r="E94" s="6"/>
      <c r="F94" s="11"/>
    </row>
    <row r="95" spans="1:6" x14ac:dyDescent="0.25">
      <c r="A95" s="3"/>
      <c r="B95" s="19"/>
      <c r="E95" s="6"/>
      <c r="F95" s="11"/>
    </row>
    <row r="96" spans="1:6" x14ac:dyDescent="0.25">
      <c r="A96" s="3"/>
      <c r="B96" s="19"/>
      <c r="E96" s="6"/>
      <c r="F96" s="11"/>
    </row>
    <row r="97" spans="1:6" x14ac:dyDescent="0.25">
      <c r="A97" s="3"/>
      <c r="B97" s="19"/>
      <c r="E97" s="6"/>
      <c r="F97" s="11"/>
    </row>
    <row r="98" spans="1:6" x14ac:dyDescent="0.25">
      <c r="A98" s="3"/>
      <c r="B98" s="19"/>
      <c r="E98" s="6"/>
      <c r="F98" s="11"/>
    </row>
    <row r="99" spans="1:6" x14ac:dyDescent="0.25">
      <c r="A99" s="3"/>
      <c r="B99" s="19"/>
      <c r="E99" s="6"/>
      <c r="F99" s="11"/>
    </row>
    <row r="100" spans="1:6" x14ac:dyDescent="0.25">
      <c r="A100" s="3"/>
      <c r="B100" s="19"/>
      <c r="E100" s="6"/>
      <c r="F100" s="11"/>
    </row>
    <row r="101" spans="1:6" x14ac:dyDescent="0.25">
      <c r="A101" s="3"/>
      <c r="B101" s="19"/>
      <c r="E101" s="6"/>
      <c r="F101" s="11"/>
    </row>
    <row r="102" spans="1:6" x14ac:dyDescent="0.25">
      <c r="A102" s="3"/>
      <c r="B102" s="19"/>
      <c r="E102" s="6"/>
      <c r="F102" s="11"/>
    </row>
    <row r="103" spans="1:6" x14ac:dyDescent="0.25">
      <c r="A103" s="3"/>
      <c r="B103" s="19"/>
      <c r="E103" s="6"/>
      <c r="F103" s="11"/>
    </row>
    <row r="104" spans="1:6" x14ac:dyDescent="0.25">
      <c r="A104" s="3"/>
      <c r="B104" s="19"/>
      <c r="E104" s="6"/>
      <c r="F104" s="11"/>
    </row>
    <row r="105" spans="1:6" x14ac:dyDescent="0.25">
      <c r="A105" s="3"/>
      <c r="B105" s="19"/>
      <c r="E105" s="6"/>
      <c r="F105" s="11"/>
    </row>
    <row r="106" spans="1:6" x14ac:dyDescent="0.25">
      <c r="A106" s="3"/>
      <c r="B106" s="19"/>
      <c r="E106" s="6"/>
      <c r="F106" s="11"/>
    </row>
    <row r="107" spans="1:6" x14ac:dyDescent="0.25">
      <c r="A107" s="3"/>
      <c r="B107" s="19"/>
      <c r="E107" s="6"/>
      <c r="F107" s="11"/>
    </row>
    <row r="108" spans="1:6" x14ac:dyDescent="0.25">
      <c r="A108" s="3"/>
      <c r="B108" s="19"/>
      <c r="E108" s="6"/>
      <c r="F108" s="11"/>
    </row>
    <row r="109" spans="1:6" x14ac:dyDescent="0.25">
      <c r="A109" s="3"/>
      <c r="B109" s="19"/>
      <c r="E109" s="6"/>
      <c r="F109" s="11"/>
    </row>
    <row r="110" spans="1:6" x14ac:dyDescent="0.25">
      <c r="A110" s="3"/>
      <c r="B110" s="19"/>
      <c r="E110" s="6"/>
      <c r="F110" s="11"/>
    </row>
    <row r="111" spans="1:6" x14ac:dyDescent="0.25">
      <c r="A111" s="3"/>
      <c r="B111" s="19"/>
      <c r="E111" s="6"/>
      <c r="F111" s="11"/>
    </row>
    <row r="112" spans="1:6" x14ac:dyDescent="0.25">
      <c r="A112" s="3"/>
      <c r="B112" s="19"/>
      <c r="E112" s="6"/>
      <c r="F112" s="11"/>
    </row>
    <row r="113" spans="1:6" x14ac:dyDescent="0.25">
      <c r="A113" s="3"/>
      <c r="B113" s="19"/>
      <c r="E113" s="6"/>
      <c r="F113" s="11"/>
    </row>
    <row r="114" spans="1:6" x14ac:dyDescent="0.25">
      <c r="A114" s="3"/>
      <c r="B114" s="19"/>
      <c r="E114" s="6"/>
      <c r="F114" s="11"/>
    </row>
    <row r="115" spans="1:6" x14ac:dyDescent="0.25">
      <c r="A115" s="3"/>
      <c r="B115" s="19"/>
      <c r="E115" s="6"/>
      <c r="F115" s="11"/>
    </row>
    <row r="116" spans="1:6" x14ac:dyDescent="0.25">
      <c r="A116" s="3"/>
      <c r="B116" s="19"/>
      <c r="E116" s="6"/>
      <c r="F116" s="11"/>
    </row>
    <row r="117" spans="1:6" x14ac:dyDescent="0.25">
      <c r="A117" s="3"/>
      <c r="B117" s="19"/>
      <c r="E117" s="6"/>
      <c r="F117" s="11"/>
    </row>
    <row r="118" spans="1:6" x14ac:dyDescent="0.25">
      <c r="B118" s="19"/>
      <c r="C118" s="6"/>
      <c r="D118" s="6"/>
      <c r="E118" s="6"/>
      <c r="F118" s="11"/>
    </row>
    <row r="119" spans="1:6" x14ac:dyDescent="0.25">
      <c r="B119" s="19"/>
      <c r="C119" s="6"/>
      <c r="D119" s="6"/>
      <c r="E119" s="6"/>
      <c r="F119" s="11"/>
    </row>
    <row r="120" spans="1:6" x14ac:dyDescent="0.25">
      <c r="A120" s="2"/>
      <c r="B120" s="19"/>
    </row>
    <row r="121" spans="1:6" x14ac:dyDescent="0.25">
      <c r="A121" s="6"/>
      <c r="B121" s="19"/>
    </row>
  </sheetData>
  <sortState ref="A2:B121">
    <sortCondition ref="A2"/>
  </sortState>
  <conditionalFormatting sqref="C2:C3">
    <cfRule type="expression" dxfId="19" priority="13">
      <formula>$D2="Pharma"</formula>
    </cfRule>
    <cfRule type="expression" dxfId="18" priority="14">
      <formula>$D2="Odonto"</formula>
    </cfRule>
    <cfRule type="expression" dxfId="17" priority="15">
      <formula>$D2="Méd gé"</formula>
    </cfRule>
    <cfRule type="expression" dxfId="16" priority="16">
      <formula>$D2="Méd spé"</formula>
    </cfRule>
  </conditionalFormatting>
  <conditionalFormatting sqref="A2:B2 A3:A102 B3:B121">
    <cfRule type="expression" dxfId="15" priority="10">
      <formula>$G2="pb"</formula>
    </cfRule>
    <cfRule type="expression" dxfId="14" priority="11">
      <formula>$G2="transmis"</formula>
    </cfRule>
    <cfRule type="expression" dxfId="13" priority="12">
      <formula>$G2="fait"</formula>
    </cfRule>
  </conditionalFormatting>
  <conditionalFormatting sqref="A15:A45">
    <cfRule type="expression" dxfId="12" priority="7">
      <formula>$G15="pb"</formula>
    </cfRule>
    <cfRule type="expression" dxfId="11" priority="8">
      <formula>$G15="transmis"</formula>
    </cfRule>
    <cfRule type="expression" dxfId="10" priority="9">
      <formula>$G15="fait"</formula>
    </cfRule>
  </conditionalFormatting>
  <conditionalFormatting sqref="C4">
    <cfRule type="expression" dxfId="9" priority="21">
      <formula>#REF!="Pharma"</formula>
    </cfRule>
    <cfRule type="expression" dxfId="8" priority="22">
      <formula>#REF!="Odonto"</formula>
    </cfRule>
    <cfRule type="expression" dxfId="7" priority="23">
      <formula>#REF!="Méd gé"</formula>
    </cfRule>
    <cfRule type="expression" dxfId="6" priority="24">
      <formula>#REF!="Méd spé"</formula>
    </cfRule>
  </conditionalFormatting>
  <conditionalFormatting sqref="A103:A118">
    <cfRule type="expression" dxfId="5" priority="4">
      <formula>$G104="pb"</formula>
    </cfRule>
    <cfRule type="expression" dxfId="4" priority="5">
      <formula>$G104="transmis"</formula>
    </cfRule>
    <cfRule type="expression" dxfId="3" priority="6">
      <formula>$G104="fait"</formula>
    </cfRule>
  </conditionalFormatting>
  <conditionalFormatting sqref="L2">
    <cfRule type="expression" dxfId="2" priority="1">
      <formula>$G2="pb"</formula>
    </cfRule>
    <cfRule type="expression" dxfId="1" priority="2">
      <formula>$G2="transmis"</formula>
    </cfRule>
    <cfRule type="expression" dxfId="0" priority="3">
      <formula>$G2="fait"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OFFSET(Introduction!$S$3,,,COUNTA(Introduction!$S$3:$S$300),1)</xm:f>
          </x14:formula1>
          <xm:sqref>I2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1"/>
  <sheetViews>
    <sheetView workbookViewId="0">
      <pane ySplit="1" topLeftCell="A2" activePane="bottomLeft" state="frozen"/>
      <selection pane="bottomLeft" activeCell="D21" sqref="D21"/>
    </sheetView>
  </sheetViews>
  <sheetFormatPr baseColWidth="10" defaultRowHeight="15" x14ac:dyDescent="0.25"/>
  <cols>
    <col min="1" max="1" width="10.42578125" style="7" bestFit="1" customWidth="1"/>
    <col min="2" max="2" width="27.85546875" style="7" bestFit="1" customWidth="1"/>
    <col min="3" max="3" width="15.28515625" style="7" bestFit="1" customWidth="1"/>
    <col min="4" max="4" width="41.28515625" style="7" bestFit="1" customWidth="1"/>
    <col min="5" max="5" width="17" style="7" bestFit="1" customWidth="1"/>
  </cols>
  <sheetData/>
  <sortState ref="C2:D47">
    <sortCondition ref="C2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Introduction</vt:lpstr>
      <vt:lpstr>Données</vt:lpstr>
      <vt:lpstr>Résultats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Alban Peyrat</cp:lastModifiedBy>
  <dcterms:created xsi:type="dcterms:W3CDTF">2006-09-16T00:00:00Z</dcterms:created>
  <dcterms:modified xsi:type="dcterms:W3CDTF">2021-10-06T16:57:03Z</dcterms:modified>
</cp:coreProperties>
</file>